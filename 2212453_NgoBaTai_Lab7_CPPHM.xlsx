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17-03-2026\"/>
    </mc:Choice>
  </mc:AlternateContent>
  <xr:revisionPtr revIDLastSave="0" documentId="13_ncr:1_{E561CCC5-541D-406B-8C87-B27DEFDF662A}" xr6:coauthVersionLast="47" xr6:coauthVersionMax="47" xr10:uidLastSave="{00000000-0000-0000-0000-000000000000}"/>
  <bookViews>
    <workbookView xWindow="-120" yWindow="-120" windowWidth="20730" windowHeight="11040" xr2:uid="{60964E62-9A5A-4FD4-BABD-66F5FDDB5964}"/>
  </bookViews>
  <sheets>
    <sheet name="Phần 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1" l="1"/>
  <c r="F20" i="1"/>
  <c r="G20" i="1"/>
  <c r="H20" i="1"/>
  <c r="I20" i="1"/>
  <c r="J20" i="1"/>
  <c r="F16" i="1"/>
  <c r="F17" i="1"/>
  <c r="F18" i="1"/>
  <c r="F19" i="1"/>
  <c r="G16" i="1"/>
  <c r="G17" i="1"/>
  <c r="G18" i="1"/>
  <c r="G19" i="1"/>
  <c r="H16" i="1"/>
  <c r="H17" i="1"/>
  <c r="H18" i="1"/>
  <c r="H19" i="1"/>
  <c r="I16" i="1"/>
  <c r="I17" i="1"/>
  <c r="I18" i="1"/>
  <c r="I19" i="1"/>
  <c r="J16" i="1"/>
  <c r="J17" i="1"/>
  <c r="J18" i="1"/>
  <c r="J19" i="1"/>
  <c r="G15" i="1"/>
  <c r="H15" i="1"/>
  <c r="I15" i="1"/>
  <c r="J15" i="1"/>
  <c r="F15" i="1"/>
  <c r="C16" i="1"/>
  <c r="B16" i="1"/>
  <c r="C15" i="1"/>
  <c r="B15" i="1"/>
  <c r="C14" i="1"/>
  <c r="B14" i="1"/>
  <c r="C13" i="1"/>
  <c r="B13" i="1"/>
  <c r="C12" i="1"/>
  <c r="B12" i="1"/>
  <c r="B7" i="1" l="1"/>
  <c r="B5" i="1"/>
  <c r="B4" i="1"/>
  <c r="D2" i="1" s="1"/>
  <c r="B3" i="1"/>
  <c r="D4" i="1" s="1"/>
  <c r="B2" i="1"/>
  <c r="B6" i="1"/>
  <c r="D3" i="1" s="1"/>
  <c r="B8" i="1"/>
  <c r="D1" i="1" s="1"/>
  <c r="P14" i="1" l="1"/>
  <c r="P15" i="1"/>
  <c r="P16" i="1"/>
  <c r="P13" i="1"/>
  <c r="P12" i="1"/>
</calcChain>
</file>

<file path=xl/sharedStrings.xml><?xml version="1.0" encoding="utf-8"?>
<sst xmlns="http://schemas.openxmlformats.org/spreadsheetml/2006/main" count="94" uniqueCount="46">
  <si>
    <t>s</t>
  </si>
  <si>
    <t>g</t>
  </si>
  <si>
    <t>d7</t>
  </si>
  <si>
    <t>d5</t>
  </si>
  <si>
    <t>d1</t>
  </si>
  <si>
    <t>d2</t>
  </si>
  <si>
    <t>d3</t>
  </si>
  <si>
    <t>d4</t>
  </si>
  <si>
    <t>d6</t>
  </si>
  <si>
    <t>x</t>
  </si>
  <si>
    <t>y</t>
  </si>
  <si>
    <t>Điểm</t>
  </si>
  <si>
    <t>epsilon</t>
  </si>
  <si>
    <t>m</t>
  </si>
  <si>
    <t>a</t>
  </si>
  <si>
    <t>A</t>
  </si>
  <si>
    <t>B</t>
  </si>
  <si>
    <t>C</t>
  </si>
  <si>
    <t>D</t>
  </si>
  <si>
    <t>E</t>
  </si>
  <si>
    <t>Bảng các điểm đầu vào</t>
  </si>
  <si>
    <t>Bảng ma trận khoảng cách</t>
  </si>
  <si>
    <t>↓ \ →</t>
  </si>
  <si>
    <t>Điểm →</t>
  </si>
  <si>
    <t>x_hàng</t>
  </si>
  <si>
    <t>y_hàng</t>
  </si>
  <si>
    <t>x_col</t>
  </si>
  <si>
    <t>y_col</t>
  </si>
  <si>
    <t>Bảng láng giềng theo bán kính</t>
  </si>
  <si>
    <t>Số láng giềng trong eps</t>
  </si>
  <si>
    <t>Danh sách láng giềng</t>
  </si>
  <si>
    <t>Tọa độ</t>
  </si>
  <si>
    <t>Số láng giềng</t>
  </si>
  <si>
    <t>≥ m (min_samples)?</t>
  </si>
  <si>
    <t>Core Point</t>
  </si>
  <si>
    <t>Border Point</t>
  </si>
  <si>
    <t>Noise</t>
  </si>
  <si>
    <t>Phân loại</t>
  </si>
  <si>
    <t>(1; 1)</t>
  </si>
  <si>
    <t>(2; 1)</t>
  </si>
  <si>
    <t>(5; 5)</t>
  </si>
  <si>
    <t>(6; 6)</t>
  </si>
  <si>
    <t>(8; 2)</t>
  </si>
  <si>
    <t>Không</t>
  </si>
  <si>
    <t>YÊU CẦU 3,4– Phân loại: Core Point / Border Point / Noise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</si>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</sst>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name val="Calibri"/>
    </font>
    <font>
      <b/>
      <sz val="11"/>
      <color rgb="FF375623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  <family val="2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1"/>
      <color rgb="FF375623"/>
      <name val="Calibri"/>
      <family val="2"/>
    </font>
    <font>
      <b/>
      <sz val="11"/>
      <color rgb="FF2E75B6"/>
      <name val="Calibri"/>
      <family val="2"/>
    </font>
    <font>
      <b/>
      <sz val="11"/>
      <color rgb="FFC00000"/>
      <name val="Calibri"/>
      <family val="2"/>
    </font>
    <font>
      <b/>
      <sz val="11"/>
      <color rgb="FFFFFFFF"/>
      <name val="Calibri"/>
      <family val="2"/>
    </font>
    <font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0" xfId="0" applyAlignment="1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0" xfId="0"/>
    <xf numFmtId="164" fontId="8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164" fontId="14" fillId="8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212493_VLCVinh_Lab07.xlsx" TargetMode="External"/><Relationship Id="rId2" Type="http://schemas.openxmlformats.org/officeDocument/2006/relationships/externalLinkPath" Target="file:///C:\Users\Administrator\Downloads\2212493_VLCVinh_Lab07.xlsx" TargetMode="External"/><Relationship Id="rId1" Type="http://schemas.openxmlformats.org/officeDocument/2006/relationships/externalLinkPath" Target="/Users/Administrator/Downloads/2212493_VLCVinh_Lab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á Nhân Hóa"/>
      <sheetName val="Tọa Độ &amp; Tham Số"/>
      <sheetName val="Ma Trận Khoảng Cách"/>
      <sheetName val="Láng Giềng &amp; Phân Loại"/>
      <sheetName val="So Sánh Ngưỡng"/>
      <sheetName val="Điểm F &amp; Câu Hỏi"/>
    </sheetNames>
    <sheetDataSet>
      <sheetData sheetId="0">
        <row r="19">
          <cell r="C19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94DB-1968-4D64-AE23-572F0CEBC0A4}">
  <dimension ref="A1:S34"/>
  <sheetViews>
    <sheetView tabSelected="1" topLeftCell="A7" zoomScale="85" zoomScaleNormal="85" workbookViewId="0">
      <selection activeCell="P17" sqref="P17"/>
    </sheetView>
  </sheetViews>
  <sheetFormatPr defaultRowHeight="15" x14ac:dyDescent="0.25"/>
  <cols>
    <col min="2" max="2" width="13.28515625" customWidth="1"/>
    <col min="3" max="3" width="11.42578125" customWidth="1"/>
    <col min="5" max="5" width="14.42578125" customWidth="1"/>
    <col min="6" max="6" width="17" customWidth="1"/>
    <col min="7" max="7" width="10.5703125" bestFit="1" customWidth="1"/>
    <col min="8" max="8" width="9.85546875" bestFit="1" customWidth="1"/>
    <col min="13" max="13" width="12.42578125" bestFit="1" customWidth="1"/>
    <col min="14" max="14" width="14.42578125" customWidth="1"/>
    <col min="16" max="16" width="21.5703125" bestFit="1" customWidth="1"/>
    <col min="17" max="17" width="20.140625" bestFit="1" customWidth="1"/>
    <col min="19" max="19" width="10.7109375" bestFit="1" customWidth="1"/>
  </cols>
  <sheetData>
    <row r="1" spans="1:19" x14ac:dyDescent="0.25">
      <c r="A1" s="1" t="s">
        <v>0</v>
      </c>
      <c r="B1" s="1">
        <v>2212453</v>
      </c>
      <c r="C1" s="1" t="s">
        <v>1</v>
      </c>
      <c r="D1" s="1">
        <f>MOD(B8,5)</f>
        <v>3</v>
      </c>
    </row>
    <row r="2" spans="1:19" x14ac:dyDescent="0.25">
      <c r="A2" s="1" t="s">
        <v>4</v>
      </c>
      <c r="B2" s="1">
        <f>VALUE(MID($B$1,1,1))</f>
        <v>2</v>
      </c>
      <c r="C2" s="1" t="s">
        <v>12</v>
      </c>
      <c r="D2" s="1">
        <f>0.2 + 0.1 * MOD(B4,4)</f>
        <v>0.30000000000000004</v>
      </c>
    </row>
    <row r="3" spans="1:19" x14ac:dyDescent="0.25">
      <c r="A3" s="1" t="s">
        <v>5</v>
      </c>
      <c r="B3" s="1">
        <f>VALUE(MID($B$1,2,1))</f>
        <v>2</v>
      </c>
      <c r="C3" s="1" t="s">
        <v>13</v>
      </c>
      <c r="D3" s="1">
        <f>3 + MOD(B6,3)</f>
        <v>4</v>
      </c>
    </row>
    <row r="4" spans="1:19" x14ac:dyDescent="0.25">
      <c r="A4" s="1" t="s">
        <v>6</v>
      </c>
      <c r="B4" s="1">
        <f>VALUE(MID($B$1,3,1))</f>
        <v>1</v>
      </c>
      <c r="C4" s="6" t="s">
        <v>14</v>
      </c>
      <c r="D4" s="1">
        <f>MOD(B3,2)</f>
        <v>0</v>
      </c>
    </row>
    <row r="5" spans="1:19" x14ac:dyDescent="0.25">
      <c r="A5" s="1" t="s">
        <v>7</v>
      </c>
      <c r="B5" s="1">
        <f>VALUE(MID($B$1,4,1))</f>
        <v>2</v>
      </c>
    </row>
    <row r="6" spans="1:19" x14ac:dyDescent="0.25">
      <c r="A6" s="1" t="s">
        <v>3</v>
      </c>
      <c r="B6" s="1">
        <f>VALUE(MID($B$1,5,1))</f>
        <v>4</v>
      </c>
    </row>
    <row r="7" spans="1:19" x14ac:dyDescent="0.25">
      <c r="A7" s="1" t="s">
        <v>8</v>
      </c>
      <c r="B7" s="1">
        <f>VALUE(MID($B$1,6,1))</f>
        <v>5</v>
      </c>
    </row>
    <row r="8" spans="1:19" x14ac:dyDescent="0.25">
      <c r="A8" s="1" t="s">
        <v>2</v>
      </c>
      <c r="B8" s="1">
        <f>VALUE(MID(B1,7,1))</f>
        <v>3</v>
      </c>
    </row>
    <row r="10" spans="1:19" x14ac:dyDescent="0.25">
      <c r="A10" s="5" t="s">
        <v>20</v>
      </c>
      <c r="B10" s="5"/>
      <c r="C10" s="5"/>
      <c r="E10" s="17" t="s">
        <v>21</v>
      </c>
      <c r="F10" s="17"/>
      <c r="G10" s="17"/>
      <c r="H10" s="17"/>
      <c r="I10" s="17"/>
      <c r="J10" s="17"/>
      <c r="K10" s="17"/>
      <c r="L10" s="17"/>
      <c r="M10" s="17"/>
      <c r="O10" s="5" t="s">
        <v>28</v>
      </c>
      <c r="P10" s="5"/>
      <c r="Q10" s="5"/>
    </row>
    <row r="11" spans="1:19" x14ac:dyDescent="0.25">
      <c r="A11" s="13" t="s">
        <v>11</v>
      </c>
      <c r="B11" s="13" t="s">
        <v>9</v>
      </c>
      <c r="C11" s="13" t="s">
        <v>10</v>
      </c>
      <c r="E11" s="20" t="s">
        <v>23</v>
      </c>
      <c r="F11" s="14" t="s">
        <v>15</v>
      </c>
      <c r="G11" s="14" t="s">
        <v>16</v>
      </c>
      <c r="H11" s="14" t="s">
        <v>17</v>
      </c>
      <c r="I11" s="14" t="s">
        <v>18</v>
      </c>
      <c r="J11" s="14" t="s">
        <v>19</v>
      </c>
      <c r="K11" s="28" t="s">
        <v>45</v>
      </c>
      <c r="L11" s="20" t="s">
        <v>24</v>
      </c>
      <c r="M11" s="20" t="s">
        <v>25</v>
      </c>
      <c r="O11" s="4" t="s">
        <v>11</v>
      </c>
      <c r="P11" s="4" t="s">
        <v>29</v>
      </c>
      <c r="Q11" s="25" t="s">
        <v>30</v>
      </c>
      <c r="R11" s="12"/>
      <c r="S11" s="12"/>
    </row>
    <row r="12" spans="1:19" ht="16.5" x14ac:dyDescent="0.25">
      <c r="A12" s="14" t="s">
        <v>15</v>
      </c>
      <c r="B12" s="15">
        <f>1</f>
        <v>1</v>
      </c>
      <c r="C12" s="15">
        <f>1</f>
        <v>1</v>
      </c>
      <c r="D12" s="7"/>
      <c r="E12" s="20" t="s">
        <v>26</v>
      </c>
      <c r="F12" s="21">
        <v>1</v>
      </c>
      <c r="G12" s="21">
        <v>2</v>
      </c>
      <c r="H12" s="21">
        <v>5</v>
      </c>
      <c r="I12" s="21">
        <v>6</v>
      </c>
      <c r="J12" s="21">
        <v>8</v>
      </c>
      <c r="K12" s="40">
        <v>5</v>
      </c>
      <c r="O12" s="3" t="s">
        <v>15</v>
      </c>
      <c r="P12" s="3">
        <f>COUNTIF(F15:J15, "&lt;="&amp;$D$2)</f>
        <v>1</v>
      </c>
      <c r="Q12" s="4" t="s">
        <v>15</v>
      </c>
      <c r="R12" s="2"/>
      <c r="S12" s="2"/>
    </row>
    <row r="13" spans="1:19" ht="16.5" x14ac:dyDescent="0.25">
      <c r="A13" s="14" t="s">
        <v>16</v>
      </c>
      <c r="B13" s="16">
        <f>2</f>
        <v>2</v>
      </c>
      <c r="C13" s="16">
        <f>1+'[1]Cá Nhân Hóa'!C19</f>
        <v>1</v>
      </c>
      <c r="D13" s="8"/>
      <c r="E13" s="20" t="s">
        <v>27</v>
      </c>
      <c r="F13" s="21">
        <v>1</v>
      </c>
      <c r="G13" s="21">
        <v>1</v>
      </c>
      <c r="H13" s="21">
        <v>5</v>
      </c>
      <c r="I13" s="21">
        <v>6</v>
      </c>
      <c r="J13" s="21">
        <v>2</v>
      </c>
      <c r="K13" s="40">
        <v>5</v>
      </c>
      <c r="O13" s="3" t="s">
        <v>16</v>
      </c>
      <c r="P13" s="3">
        <f>COUNTIF(F16:J16, "&lt;="&amp;$D$2)</f>
        <v>1</v>
      </c>
      <c r="Q13" s="4" t="s">
        <v>16</v>
      </c>
      <c r="R13" s="2"/>
      <c r="S13" s="2"/>
    </row>
    <row r="14" spans="1:19" ht="16.5" x14ac:dyDescent="0.25">
      <c r="A14" s="14" t="s">
        <v>17</v>
      </c>
      <c r="B14" s="15">
        <f>5</f>
        <v>5</v>
      </c>
      <c r="C14" s="15">
        <f>5</f>
        <v>5</v>
      </c>
      <c r="D14" s="8"/>
      <c r="E14" s="18" t="s">
        <v>22</v>
      </c>
      <c r="F14" s="18" t="s">
        <v>15</v>
      </c>
      <c r="G14" s="18" t="s">
        <v>16</v>
      </c>
      <c r="H14" s="18" t="s">
        <v>17</v>
      </c>
      <c r="I14" s="18" t="s">
        <v>18</v>
      </c>
      <c r="J14" s="18" t="s">
        <v>19</v>
      </c>
      <c r="K14" s="41"/>
      <c r="O14" s="3" t="s">
        <v>17</v>
      </c>
      <c r="P14" s="3">
        <f>COUNTIF(F17:J17, "&lt;="&amp;$D$2)</f>
        <v>1</v>
      </c>
      <c r="Q14" s="4" t="s">
        <v>17</v>
      </c>
      <c r="R14" s="2"/>
      <c r="S14" s="2"/>
    </row>
    <row r="15" spans="1:19" ht="16.5" x14ac:dyDescent="0.25">
      <c r="A15" s="14" t="s">
        <v>18</v>
      </c>
      <c r="B15" s="16">
        <f>6</f>
        <v>6</v>
      </c>
      <c r="C15" s="16">
        <f>6+'[1]Cá Nhân Hóa'!C19</f>
        <v>6</v>
      </c>
      <c r="D15" s="8"/>
      <c r="E15" s="18" t="s">
        <v>15</v>
      </c>
      <c r="F15" s="19">
        <f>SQRT(($L15-F$12)^2+($M15-F$13)^2)</f>
        <v>0</v>
      </c>
      <c r="G15" s="24">
        <f>SQRT(($L15-G$12)^2+($M15-G$13)^2)</f>
        <v>1</v>
      </c>
      <c r="H15" s="24">
        <f>SQRT(($L15-H$12)^2+($M15-H$13)^2)</f>
        <v>5.6568542494923806</v>
      </c>
      <c r="I15" s="24">
        <f>SQRT(($L15-I$12)^2+($M15-I$13)^2)</f>
        <v>7.0710678118654755</v>
      </c>
      <c r="J15" s="24">
        <f>SQRT(($L15-J$12)^2+($M15-J$13)^2)</f>
        <v>7.0710678118654755</v>
      </c>
      <c r="K15" s="24"/>
      <c r="L15" s="21">
        <v>1</v>
      </c>
      <c r="M15" s="21">
        <v>1</v>
      </c>
      <c r="O15" s="3" t="s">
        <v>18</v>
      </c>
      <c r="P15" s="3">
        <f>COUNTIF(F18:J18, "&lt;="&amp;$D$2)</f>
        <v>1</v>
      </c>
      <c r="Q15" s="4" t="s">
        <v>18</v>
      </c>
      <c r="R15" s="2"/>
      <c r="S15" s="2"/>
    </row>
    <row r="16" spans="1:19" ht="16.5" x14ac:dyDescent="0.25">
      <c r="A16" s="14" t="s">
        <v>19</v>
      </c>
      <c r="B16" s="15">
        <f>8</f>
        <v>8</v>
      </c>
      <c r="C16" s="15">
        <f>2+'[1]Cá Nhân Hóa'!C19</f>
        <v>2</v>
      </c>
      <c r="D16" s="8"/>
      <c r="E16" s="18" t="s">
        <v>16</v>
      </c>
      <c r="F16" s="23">
        <f>SQRT(($L16-F$12)^2+($M16-F$13)^2)</f>
        <v>1</v>
      </c>
      <c r="G16" s="19">
        <f>SQRT(($L16-G$12)^2+($M16-G$13)^2)</f>
        <v>0</v>
      </c>
      <c r="H16" s="24">
        <f>SQRT(($L16-H$12)^2+($M16-H$13)^2)</f>
        <v>5</v>
      </c>
      <c r="I16" s="24">
        <f>SQRT(($L16-I$12)^2+($M16-I$13)^2)</f>
        <v>6.4031242374328485</v>
      </c>
      <c r="J16" s="24">
        <f>SQRT(($L16-J$12)^2+($M16-J$13)^2)</f>
        <v>6.0827625302982193</v>
      </c>
      <c r="K16" s="24"/>
      <c r="L16" s="21">
        <v>2</v>
      </c>
      <c r="M16" s="21">
        <v>1</v>
      </c>
      <c r="O16" s="3" t="s">
        <v>19</v>
      </c>
      <c r="P16" s="3">
        <f>COUNTIF(F19:J19, "&lt;="&amp;$D$2)</f>
        <v>1</v>
      </c>
      <c r="Q16" s="4" t="s">
        <v>19</v>
      </c>
      <c r="R16" s="2"/>
      <c r="S16" s="2"/>
    </row>
    <row r="17" spans="1:19" ht="16.5" x14ac:dyDescent="0.25">
      <c r="A17" s="9"/>
      <c r="B17" s="9"/>
      <c r="C17" s="9"/>
      <c r="D17" s="8"/>
      <c r="E17" s="18" t="s">
        <v>17</v>
      </c>
      <c r="F17" s="23">
        <f>SQRT(($L17-F$12)^2+($M17-F$13)^2)</f>
        <v>5.6568542494923806</v>
      </c>
      <c r="G17" s="24">
        <f>SQRT(($L17-G$12)^2+($M17-G$13)^2)</f>
        <v>5</v>
      </c>
      <c r="H17" s="19">
        <f>SQRT(($L17-H$12)^2+($M17-H$13)^2)</f>
        <v>0</v>
      </c>
      <c r="I17" s="24">
        <f>SQRT(($L17-I$12)^2+($M17-I$13)^2)</f>
        <v>1.4142135623730951</v>
      </c>
      <c r="J17" s="24">
        <f>SQRT(($L17-J$12)^2+($M17-J$13)^2)</f>
        <v>4.2426406871192848</v>
      </c>
      <c r="K17" s="24"/>
      <c r="L17" s="21">
        <v>5</v>
      </c>
      <c r="M17" s="21">
        <v>5</v>
      </c>
      <c r="O17" s="10" t="s">
        <v>45</v>
      </c>
      <c r="P17" s="3">
        <f>COUNTIF(F20:J20, "&lt;="&amp;$D$2)</f>
        <v>1</v>
      </c>
      <c r="S17" s="2"/>
    </row>
    <row r="18" spans="1:19" ht="16.5" x14ac:dyDescent="0.25">
      <c r="A18" s="9"/>
      <c r="B18" s="9"/>
      <c r="C18" s="9"/>
      <c r="D18" s="8"/>
      <c r="E18" s="18" t="s">
        <v>18</v>
      </c>
      <c r="F18" s="23">
        <f>SQRT(($L18-F$12)^2+($M18-F$13)^2)</f>
        <v>7.0710678118654755</v>
      </c>
      <c r="G18" s="24">
        <f>SQRT(($L18-G$12)^2+($M18-G$13)^2)</f>
        <v>6.4031242374328485</v>
      </c>
      <c r="H18" s="24">
        <f>SQRT(($L18-H$12)^2+($M18-H$13)^2)</f>
        <v>1.4142135623730951</v>
      </c>
      <c r="I18" s="19">
        <f>SQRT(($L18-I$12)^2+($M18-I$13)^2)</f>
        <v>0</v>
      </c>
      <c r="J18" s="24">
        <f>SQRT(($L18-J$12)^2+($M18-J$13)^2)</f>
        <v>4.4721359549995796</v>
      </c>
      <c r="K18" s="24"/>
      <c r="L18" s="21">
        <v>6</v>
      </c>
      <c r="M18" s="21">
        <v>6</v>
      </c>
      <c r="O18" s="10"/>
      <c r="P18" s="10"/>
    </row>
    <row r="19" spans="1:19" x14ac:dyDescent="0.25">
      <c r="A19" s="7"/>
      <c r="B19" s="8"/>
      <c r="C19" s="8"/>
      <c r="D19" s="8"/>
      <c r="E19" s="18" t="s">
        <v>19</v>
      </c>
      <c r="F19" s="23">
        <f>SQRT(($L19-F$12)^2+($M19-F$13)^2)</f>
        <v>7.0710678118654755</v>
      </c>
      <c r="G19" s="24">
        <f>SQRT(($L19-G$12)^2+($M19-G$13)^2)</f>
        <v>6.0827625302982193</v>
      </c>
      <c r="H19" s="24">
        <f>SQRT(($L19-H$12)^2+($M19-H$13)^2)</f>
        <v>4.2426406871192848</v>
      </c>
      <c r="I19" s="24">
        <f>SQRT(($L19-I$12)^2+($M19-I$13)^2)</f>
        <v>4.4721359549995796</v>
      </c>
      <c r="J19" s="19">
        <f>SQRT(($L19-J$12)^2+($M19-J$13)^2)</f>
        <v>0</v>
      </c>
      <c r="K19" s="19"/>
      <c r="L19" s="21">
        <v>8</v>
      </c>
      <c r="M19" s="21">
        <v>2</v>
      </c>
      <c r="O19" s="8"/>
      <c r="P19" s="8"/>
    </row>
    <row r="20" spans="1:19" x14ac:dyDescent="0.25">
      <c r="A20" s="7"/>
      <c r="B20" s="8"/>
      <c r="C20" s="8"/>
      <c r="D20" s="8"/>
      <c r="E20" s="39" t="s">
        <v>45</v>
      </c>
      <c r="F20" s="43">
        <f>SQRT(($L20-F$12)^2+($M20-F$13)^2)</f>
        <v>5.6568542494923806</v>
      </c>
      <c r="G20" s="44">
        <f>SQRT(($L20-G$12)^2+($M20-G$13)^2)</f>
        <v>5</v>
      </c>
      <c r="H20" s="44">
        <f>SQRT(($L20-H$12)^2+($M20-H$13)^2)</f>
        <v>0</v>
      </c>
      <c r="I20" s="44">
        <f>SQRT(($L20-I$12)^2+($M20-I$13)^2)</f>
        <v>1.4142135623730951</v>
      </c>
      <c r="J20" s="44">
        <f>SQRT(($L20-J$12)^2+($M20-J$13)^2)</f>
        <v>4.2426406871192848</v>
      </c>
      <c r="L20" s="42">
        <v>5</v>
      </c>
      <c r="M20" s="42">
        <v>5</v>
      </c>
      <c r="O20" s="8"/>
      <c r="P20" s="8"/>
    </row>
    <row r="21" spans="1:19" ht="16.5" x14ac:dyDescent="0.25">
      <c r="A21" s="11"/>
      <c r="B21" s="11"/>
      <c r="C21" s="11"/>
      <c r="D21" s="8"/>
      <c r="E21" s="8"/>
      <c r="F21" s="11"/>
      <c r="G21" s="11"/>
      <c r="H21" s="11"/>
      <c r="I21" s="7"/>
      <c r="J21" s="8"/>
      <c r="K21" s="8"/>
      <c r="L21" s="8"/>
      <c r="M21" s="8"/>
      <c r="N21" s="8"/>
      <c r="O21" s="8"/>
      <c r="P21" s="8"/>
    </row>
    <row r="22" spans="1:19" ht="17.25" x14ac:dyDescent="0.25">
      <c r="A22" s="9"/>
      <c r="B22" s="9"/>
      <c r="C22" s="9"/>
      <c r="D22" s="8"/>
      <c r="E22" s="26" t="s">
        <v>44</v>
      </c>
      <c r="F22" s="22"/>
      <c r="G22" s="22"/>
      <c r="H22" s="22"/>
      <c r="I22" s="22"/>
      <c r="J22" s="22"/>
      <c r="K22" s="22"/>
      <c r="L22" s="22"/>
      <c r="M22" s="22"/>
      <c r="N22" s="8"/>
      <c r="O22" s="8"/>
      <c r="P22" s="8"/>
    </row>
    <row r="23" spans="1:19" ht="38.25" x14ac:dyDescent="0.25">
      <c r="A23" s="9"/>
      <c r="B23" s="9"/>
      <c r="C23" s="9"/>
      <c r="D23" s="8"/>
      <c r="E23" s="27" t="s">
        <v>11</v>
      </c>
      <c r="F23" s="27" t="s">
        <v>31</v>
      </c>
      <c r="G23" s="27" t="s">
        <v>32</v>
      </c>
      <c r="H23" s="27" t="s">
        <v>33</v>
      </c>
      <c r="I23" s="27" t="s">
        <v>34</v>
      </c>
      <c r="J23" s="27" t="s">
        <v>35</v>
      </c>
      <c r="K23" s="27"/>
      <c r="L23" s="27" t="s">
        <v>36</v>
      </c>
      <c r="M23" s="27" t="s">
        <v>37</v>
      </c>
      <c r="N23" s="8"/>
      <c r="O23" s="8"/>
      <c r="P23" s="8"/>
    </row>
    <row r="24" spans="1:19" ht="16.5" x14ac:dyDescent="0.25">
      <c r="A24" s="9"/>
      <c r="B24" s="9"/>
      <c r="C24" s="9"/>
      <c r="D24" s="8"/>
      <c r="E24" s="28" t="s">
        <v>15</v>
      </c>
      <c r="F24" s="29" t="s">
        <v>38</v>
      </c>
      <c r="G24" s="36">
        <v>1</v>
      </c>
      <c r="H24" s="30" t="s">
        <v>43</v>
      </c>
      <c r="I24" s="31"/>
      <c r="J24" s="32"/>
      <c r="K24" s="32"/>
      <c r="L24" s="33" t="s">
        <v>36</v>
      </c>
      <c r="M24" s="34" t="s">
        <v>36</v>
      </c>
      <c r="N24" s="8"/>
      <c r="O24" s="8"/>
      <c r="P24" s="8"/>
    </row>
    <row r="25" spans="1:19" x14ac:dyDescent="0.25">
      <c r="A25" s="8"/>
      <c r="B25" s="8"/>
      <c r="C25" s="8"/>
      <c r="D25" s="8"/>
      <c r="E25" s="28" t="s">
        <v>16</v>
      </c>
      <c r="F25" s="35" t="s">
        <v>39</v>
      </c>
      <c r="G25" s="36">
        <v>1</v>
      </c>
      <c r="H25" s="30" t="s">
        <v>43</v>
      </c>
      <c r="I25" s="37"/>
      <c r="J25" s="38"/>
      <c r="K25" s="38"/>
      <c r="L25" s="33" t="s">
        <v>36</v>
      </c>
      <c r="M25" s="34" t="s">
        <v>36</v>
      </c>
      <c r="N25" s="8"/>
      <c r="O25" s="8"/>
      <c r="P25" s="8"/>
    </row>
    <row r="26" spans="1:19" x14ac:dyDescent="0.25">
      <c r="E26" s="28" t="s">
        <v>17</v>
      </c>
      <c r="F26" s="29" t="s">
        <v>40</v>
      </c>
      <c r="G26" s="36">
        <v>1</v>
      </c>
      <c r="H26" s="30" t="s">
        <v>43</v>
      </c>
      <c r="I26" s="31"/>
      <c r="J26" s="32"/>
      <c r="K26" s="32"/>
      <c r="L26" s="33" t="s">
        <v>36</v>
      </c>
      <c r="M26" s="34" t="s">
        <v>36</v>
      </c>
    </row>
    <row r="27" spans="1:19" x14ac:dyDescent="0.25">
      <c r="E27" s="28" t="s">
        <v>18</v>
      </c>
      <c r="F27" s="35" t="s">
        <v>41</v>
      </c>
      <c r="G27" s="36">
        <v>1</v>
      </c>
      <c r="H27" s="30" t="s">
        <v>43</v>
      </c>
      <c r="I27" s="37"/>
      <c r="J27" s="38"/>
      <c r="K27" s="38"/>
      <c r="L27" s="33" t="s">
        <v>36</v>
      </c>
      <c r="M27" s="34" t="s">
        <v>36</v>
      </c>
    </row>
    <row r="28" spans="1:19" x14ac:dyDescent="0.25">
      <c r="E28" s="28" t="s">
        <v>19</v>
      </c>
      <c r="F28" s="29" t="s">
        <v>42</v>
      </c>
      <c r="G28" s="36">
        <v>1</v>
      </c>
      <c r="H28" s="30" t="s">
        <v>43</v>
      </c>
      <c r="I28" s="31"/>
      <c r="J28" s="32"/>
      <c r="K28" s="32"/>
      <c r="L28" s="33" t="s">
        <v>36</v>
      </c>
      <c r="M28" s="34" t="s">
        <v>36</v>
      </c>
    </row>
    <row r="29" spans="1:19" x14ac:dyDescent="0.25">
      <c r="H29" s="2"/>
      <c r="I29" s="2"/>
      <c r="J29" s="2"/>
      <c r="K29" s="2"/>
    </row>
    <row r="30" spans="1:19" x14ac:dyDescent="0.25">
      <c r="H30" s="2"/>
      <c r="I30" s="2"/>
      <c r="J30" s="2"/>
      <c r="K30" s="2"/>
    </row>
    <row r="31" spans="1:19" x14ac:dyDescent="0.25">
      <c r="H31" s="2"/>
      <c r="I31" s="2"/>
      <c r="J31" s="2"/>
      <c r="K31" s="2"/>
    </row>
    <row r="32" spans="1:19" x14ac:dyDescent="0.25">
      <c r="H32" s="2"/>
      <c r="I32" s="2"/>
      <c r="J32" s="2"/>
      <c r="K32" s="2"/>
    </row>
    <row r="33" spans="8:11" x14ac:dyDescent="0.25">
      <c r="H33" s="2"/>
      <c r="I33" s="2"/>
      <c r="J33" s="2"/>
      <c r="K33" s="2"/>
    </row>
    <row r="34" spans="8:11" x14ac:dyDescent="0.25">
      <c r="H34" s="2"/>
      <c r="I34" s="2"/>
      <c r="J34" s="2"/>
      <c r="K34" s="2"/>
    </row>
  </sheetData>
  <mergeCells count="4">
    <mergeCell ref="E22:M22"/>
    <mergeCell ref="A10:C10"/>
    <mergeCell ref="E10:M10"/>
    <mergeCell ref="O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Phần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2026-03-17T06:16:56Z</dcterms:created>
  <dcterms:modified xsi:type="dcterms:W3CDTF">2026-03-25T16:43:13Z</dcterms:modified>
</cp:coreProperties>
</file>