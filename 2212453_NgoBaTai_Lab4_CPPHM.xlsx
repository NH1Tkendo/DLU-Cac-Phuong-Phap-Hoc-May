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17-03-2026\"/>
    </mc:Choice>
  </mc:AlternateContent>
  <xr:revisionPtr revIDLastSave="0" documentId="13_ncr:1_{052A8A57-AE2D-4D43-905E-D0BDA093AD3D}" xr6:coauthVersionLast="47" xr6:coauthVersionMax="47" xr10:uidLastSave="{00000000-0000-0000-0000-000000000000}"/>
  <bookViews>
    <workbookView xWindow="-120" yWindow="-120" windowWidth="20730" windowHeight="11040" xr2:uid="{60964E62-9A5A-4FD4-BABD-66F5FDDB5964}"/>
  </bookViews>
  <sheets>
    <sheet name="Phầ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5" i="1"/>
  <c r="J16" i="1"/>
  <c r="J17" i="1"/>
  <c r="J18" i="1"/>
  <c r="J14" i="1"/>
  <c r="N15" i="1"/>
  <c r="N16" i="1"/>
  <c r="O16" i="1" s="1"/>
  <c r="N17" i="1"/>
  <c r="N18" i="1"/>
  <c r="N14" i="1"/>
  <c r="O14" i="1" s="1"/>
  <c r="M15" i="1"/>
  <c r="M16" i="1"/>
  <c r="M17" i="1"/>
  <c r="O17" i="1" s="1"/>
  <c r="M18" i="1"/>
  <c r="M14" i="1"/>
  <c r="O15" i="1"/>
  <c r="H24" i="1"/>
  <c r="G24" i="1"/>
  <c r="H23" i="1"/>
  <c r="G23" i="1"/>
  <c r="I15" i="1"/>
  <c r="I16" i="1"/>
  <c r="I17" i="1"/>
  <c r="I18" i="1"/>
  <c r="I14" i="1"/>
  <c r="H15" i="1"/>
  <c r="H16" i="1"/>
  <c r="H17" i="1"/>
  <c r="H18" i="1"/>
  <c r="H14" i="1"/>
  <c r="G14" i="1"/>
  <c r="G18" i="1"/>
  <c r="G15" i="1"/>
  <c r="G16" i="1"/>
  <c r="G17" i="1"/>
  <c r="D2" i="1"/>
  <c r="D1" i="1"/>
  <c r="B7" i="1"/>
  <c r="B5" i="1"/>
  <c r="B4" i="1"/>
  <c r="B3" i="1"/>
  <c r="B2" i="1"/>
  <c r="B6" i="1"/>
  <c r="B8" i="1"/>
  <c r="O18" i="1" l="1"/>
</calcChain>
</file>

<file path=xl/sharedStrings.xml><?xml version="1.0" encoding="utf-8"?>
<sst xmlns="http://schemas.openxmlformats.org/spreadsheetml/2006/main" count="53" uniqueCount="33">
  <si>
    <t>s</t>
  </si>
  <si>
    <t>g</t>
  </si>
  <si>
    <t>d7</t>
  </si>
  <si>
    <t>d5</t>
  </si>
  <si>
    <t>d1</t>
  </si>
  <si>
    <t>d2</t>
  </si>
  <si>
    <t>d3</t>
  </si>
  <si>
    <t>d4</t>
  </si>
  <si>
    <t>d6</t>
  </si>
  <si>
    <t>STT</t>
  </si>
  <si>
    <t>k0</t>
  </si>
  <si>
    <t>x</t>
  </si>
  <si>
    <t>y</t>
  </si>
  <si>
    <t>P1</t>
  </si>
  <si>
    <t>P2</t>
  </si>
  <si>
    <t>P3</t>
  </si>
  <si>
    <t>P4</t>
  </si>
  <si>
    <t>P5</t>
  </si>
  <si>
    <t>Bảng 1: Dữ liệu điểm (Với a=3)</t>
  </si>
  <si>
    <t>Bảng 1: Dữ liệu tâm</t>
  </si>
  <si>
    <t>C1</t>
  </si>
  <si>
    <t>C2</t>
  </si>
  <si>
    <t>Bảng 2: Bảng tính khoảng cách</t>
  </si>
  <si>
    <t>Điểm</t>
  </si>
  <si>
    <t>d(C1)</t>
  </si>
  <si>
    <t>d(C2)</t>
  </si>
  <si>
    <t>Nhóm</t>
  </si>
  <si>
    <t>Bảng 2:Cập nhật dữ liệu tâm</t>
  </si>
  <si>
    <t>mean x</t>
  </si>
  <si>
    <t>mean y</t>
  </si>
  <si>
    <t>Bảng 3: Bảng tính khoảng cách (Lần 2)</t>
  </si>
  <si>
    <t>WCSS</t>
  </si>
  <si>
    <t>Tổng WCSS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</si>
</sst>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4DB-1968-4D64-AE23-572F0CEBC0A4}">
  <dimension ref="A1:R34"/>
  <sheetViews>
    <sheetView tabSelected="1" topLeftCell="A8" workbookViewId="0">
      <selection activeCell="J14" sqref="J14"/>
    </sheetView>
  </sheetViews>
  <sheetFormatPr defaultRowHeight="15" x14ac:dyDescent="0.25"/>
  <cols>
    <col min="2" max="2" width="13.28515625" customWidth="1"/>
    <col min="3" max="3" width="11.42578125" customWidth="1"/>
    <col min="5" max="5" width="14.42578125" customWidth="1"/>
    <col min="6" max="6" width="17" customWidth="1"/>
    <col min="7" max="7" width="10.5703125" bestFit="1" customWidth="1"/>
    <col min="8" max="8" width="9.85546875" bestFit="1" customWidth="1"/>
    <col min="12" max="12" width="12.42578125" bestFit="1" customWidth="1"/>
    <col min="13" max="13" width="14.42578125" customWidth="1"/>
    <col min="15" max="15" width="9.85546875" bestFit="1" customWidth="1"/>
    <col min="18" max="18" width="10.7109375" bestFit="1" customWidth="1"/>
  </cols>
  <sheetData>
    <row r="1" spans="1:18" x14ac:dyDescent="0.25">
      <c r="A1" s="1" t="s">
        <v>0</v>
      </c>
      <c r="B1" s="1">
        <v>2212453</v>
      </c>
      <c r="C1" s="1" t="s">
        <v>1</v>
      </c>
      <c r="D1" s="1">
        <f>MOD(B8,5)</f>
        <v>3</v>
      </c>
    </row>
    <row r="2" spans="1:18" x14ac:dyDescent="0.25">
      <c r="A2" s="1" t="s">
        <v>4</v>
      </c>
      <c r="B2" s="1">
        <f>VALUE(MID($B$1,1,1))</f>
        <v>2</v>
      </c>
      <c r="C2" s="1" t="s">
        <v>10</v>
      </c>
      <c r="D2" s="1">
        <f>2 + MOD(B6,3)</f>
        <v>3</v>
      </c>
    </row>
    <row r="3" spans="1:18" x14ac:dyDescent="0.25">
      <c r="A3" s="1" t="s">
        <v>5</v>
      </c>
      <c r="B3" s="1">
        <f>VALUE(MID($B$1,2,1))</f>
        <v>2</v>
      </c>
      <c r="C3" s="3"/>
      <c r="D3" s="3"/>
    </row>
    <row r="4" spans="1:18" x14ac:dyDescent="0.25">
      <c r="A4" s="1" t="s">
        <v>6</v>
      </c>
      <c r="B4" s="1">
        <f>VALUE(MID($B$1,3,1))</f>
        <v>1</v>
      </c>
      <c r="C4" s="3"/>
      <c r="D4" s="3"/>
    </row>
    <row r="5" spans="1:18" x14ac:dyDescent="0.25">
      <c r="A5" s="1" t="s">
        <v>7</v>
      </c>
      <c r="B5" s="1">
        <f>VALUE(MID($B$1,4,1))</f>
        <v>2</v>
      </c>
      <c r="C5" s="3"/>
      <c r="D5" s="3"/>
    </row>
    <row r="6" spans="1:18" x14ac:dyDescent="0.25">
      <c r="A6" s="1" t="s">
        <v>3</v>
      </c>
      <c r="B6" s="1">
        <f>VALUE(MID($B$1,5,1))</f>
        <v>4</v>
      </c>
      <c r="C6" s="3"/>
      <c r="D6" s="3"/>
    </row>
    <row r="7" spans="1:18" x14ac:dyDescent="0.25">
      <c r="A7" s="1" t="s">
        <v>8</v>
      </c>
      <c r="B7" s="1">
        <f>VALUE(MID($B$1,6,1))</f>
        <v>5</v>
      </c>
    </row>
    <row r="8" spans="1:18" x14ac:dyDescent="0.25">
      <c r="A8" s="1" t="s">
        <v>2</v>
      </c>
      <c r="B8" s="1">
        <f>VALUE(MID(B1,7,1))</f>
        <v>3</v>
      </c>
    </row>
    <row r="11" spans="1:18" x14ac:dyDescent="0.25">
      <c r="A11" s="6"/>
      <c r="B11" s="6"/>
      <c r="C11" s="6"/>
      <c r="D11" s="6"/>
      <c r="E11" s="3"/>
      <c r="F11" s="6"/>
      <c r="G11" s="6"/>
      <c r="H11" s="6"/>
      <c r="I11" s="6"/>
      <c r="J11" s="6"/>
      <c r="K11" s="3"/>
      <c r="L11" s="7"/>
      <c r="M11" s="7"/>
      <c r="N11" s="3"/>
      <c r="O11" s="4"/>
      <c r="P11" s="4"/>
      <c r="Q11" s="4"/>
      <c r="R11" s="4"/>
    </row>
    <row r="12" spans="1:18" ht="16.5" x14ac:dyDescent="0.25">
      <c r="A12" s="8" t="s">
        <v>18</v>
      </c>
      <c r="B12" s="8"/>
      <c r="C12" s="8"/>
      <c r="D12" s="5"/>
      <c r="E12" s="3"/>
      <c r="F12" s="11" t="s">
        <v>22</v>
      </c>
      <c r="G12" s="11"/>
      <c r="H12" s="11"/>
      <c r="I12" s="11"/>
      <c r="J12" s="11"/>
      <c r="K12" s="3"/>
      <c r="L12" s="11" t="s">
        <v>30</v>
      </c>
      <c r="M12" s="11"/>
      <c r="N12" s="11"/>
      <c r="O12" s="11"/>
      <c r="P12" s="5"/>
      <c r="Q12" s="5"/>
      <c r="R12" s="5"/>
    </row>
    <row r="13" spans="1:18" ht="16.5" x14ac:dyDescent="0.25">
      <c r="A13" s="9" t="s">
        <v>9</v>
      </c>
      <c r="B13" s="9" t="s">
        <v>11</v>
      </c>
      <c r="C13" s="9" t="s">
        <v>12</v>
      </c>
      <c r="D13" s="3"/>
      <c r="E13" s="3"/>
      <c r="F13" s="12" t="s">
        <v>23</v>
      </c>
      <c r="G13" s="12" t="s">
        <v>24</v>
      </c>
      <c r="H13" s="12" t="s">
        <v>25</v>
      </c>
      <c r="I13" s="12" t="s">
        <v>26</v>
      </c>
      <c r="J13" s="13" t="s">
        <v>31</v>
      </c>
      <c r="K13" s="3"/>
      <c r="L13" s="12" t="s">
        <v>23</v>
      </c>
      <c r="M13" s="12" t="s">
        <v>24</v>
      </c>
      <c r="N13" s="12" t="s">
        <v>25</v>
      </c>
      <c r="O13" s="12" t="s">
        <v>26</v>
      </c>
      <c r="P13" s="5"/>
      <c r="Q13" s="5"/>
      <c r="R13" s="5"/>
    </row>
    <row r="14" spans="1:18" ht="16.5" x14ac:dyDescent="0.25">
      <c r="A14" s="9" t="s">
        <v>13</v>
      </c>
      <c r="B14" s="9">
        <v>2</v>
      </c>
      <c r="C14" s="9">
        <v>5</v>
      </c>
      <c r="D14" s="3"/>
      <c r="E14" s="3"/>
      <c r="F14" s="12" t="s">
        <v>13</v>
      </c>
      <c r="G14" s="12">
        <f>SQRT((B14-$B$23)^2 + (C14-$C$23)^2)</f>
        <v>3</v>
      </c>
      <c r="H14" s="12">
        <f>SQRT((B14-$B$24)^2 + (C14-$C$24)^2)</f>
        <v>6.7082039324993694</v>
      </c>
      <c r="I14" s="12">
        <f>IF(G14&lt;H14,1,2)</f>
        <v>1</v>
      </c>
      <c r="J14" s="12">
        <f>IF(I14=1, G14^2, H14^2)</f>
        <v>9</v>
      </c>
      <c r="K14" s="3"/>
      <c r="L14" s="12" t="s">
        <v>13</v>
      </c>
      <c r="M14" s="12">
        <f>SQRT((B14-$G$23)^2 + (C14-$H$23)^2)</f>
        <v>0.70710678118654757</v>
      </c>
      <c r="N14" s="12">
        <f>SQRT((B14-$G$24)^2 + (C14-$H$24)^2)</f>
        <v>6.666666666666667</v>
      </c>
      <c r="O14" s="12">
        <f>IF(M14&lt;N14,1,2)</f>
        <v>1</v>
      </c>
      <c r="P14" s="5"/>
      <c r="Q14" s="5"/>
      <c r="R14" s="5"/>
    </row>
    <row r="15" spans="1:18" ht="16.5" x14ac:dyDescent="0.25">
      <c r="A15" s="9" t="s">
        <v>14</v>
      </c>
      <c r="B15" s="9">
        <v>3</v>
      </c>
      <c r="C15" s="9">
        <v>6</v>
      </c>
      <c r="D15" s="3"/>
      <c r="E15" s="3"/>
      <c r="F15" s="12" t="s">
        <v>14</v>
      </c>
      <c r="G15" s="12">
        <f t="shared" ref="G15:G18" si="0">SQRT((B15-$B$23)^2 + (C15-$C$23)^2)</f>
        <v>4.1231056256176606</v>
      </c>
      <c r="H15" s="12">
        <f t="shared" ref="H15:H18" si="1">SQRT((B15-$B$24)^2 + (C15-$C$24)^2)</f>
        <v>5.3851648071345037</v>
      </c>
      <c r="I15" s="12">
        <f t="shared" ref="I15:I18" si="2">IF(G15&lt;H15,1,2)</f>
        <v>1</v>
      </c>
      <c r="J15" s="12">
        <f t="shared" ref="J15:J18" si="3">IF(I15=1, G15^2, H15^2)</f>
        <v>17</v>
      </c>
      <c r="K15" s="3"/>
      <c r="L15" s="12" t="s">
        <v>14</v>
      </c>
      <c r="M15" s="12">
        <f t="shared" ref="M15:M18" si="4">SQRT((B15-$G$23)^2 + (C15-$H$23)^2)</f>
        <v>0.70710678118654757</v>
      </c>
      <c r="N15" s="12">
        <f t="shared" ref="N15:N18" si="5">SQRT((B15-$G$24)^2 + (C15-$H$24)^2)</f>
        <v>5.2704627669472988</v>
      </c>
      <c r="O15" s="12">
        <f t="shared" ref="O15:O18" si="6">IF(M15&lt;N15,1,2)</f>
        <v>1</v>
      </c>
      <c r="P15" s="5"/>
      <c r="Q15" s="5"/>
      <c r="R15" s="5"/>
    </row>
    <row r="16" spans="1:18" ht="16.5" x14ac:dyDescent="0.25">
      <c r="A16" s="9" t="s">
        <v>15</v>
      </c>
      <c r="B16" s="9">
        <v>8</v>
      </c>
      <c r="C16" s="9">
        <v>10</v>
      </c>
      <c r="D16" s="3"/>
      <c r="E16" s="3"/>
      <c r="F16" s="12" t="s">
        <v>15</v>
      </c>
      <c r="G16" s="12">
        <f t="shared" si="0"/>
        <v>10</v>
      </c>
      <c r="H16" s="12">
        <f t="shared" si="1"/>
        <v>2</v>
      </c>
      <c r="I16" s="12">
        <f t="shared" si="2"/>
        <v>2</v>
      </c>
      <c r="J16" s="12">
        <f t="shared" si="3"/>
        <v>4</v>
      </c>
      <c r="K16" s="3"/>
      <c r="L16" s="12" t="s">
        <v>15</v>
      </c>
      <c r="M16" s="12">
        <f t="shared" si="4"/>
        <v>7.1063352017759476</v>
      </c>
      <c r="N16" s="12">
        <f t="shared" si="5"/>
        <v>1.2018504251546633</v>
      </c>
      <c r="O16" s="12">
        <f t="shared" si="6"/>
        <v>2</v>
      </c>
      <c r="P16" s="5"/>
      <c r="Q16" s="5"/>
      <c r="R16" s="5"/>
    </row>
    <row r="17" spans="1:18" ht="16.5" x14ac:dyDescent="0.25">
      <c r="A17" s="9" t="s">
        <v>16</v>
      </c>
      <c r="B17" s="10">
        <v>9</v>
      </c>
      <c r="C17" s="10">
        <v>11</v>
      </c>
      <c r="D17" s="3"/>
      <c r="E17" s="3"/>
      <c r="F17" s="12" t="s">
        <v>16</v>
      </c>
      <c r="G17" s="12">
        <f t="shared" si="0"/>
        <v>11.401754250991379</v>
      </c>
      <c r="H17" s="12">
        <f t="shared" si="1"/>
        <v>3.1622776601683795</v>
      </c>
      <c r="I17" s="12">
        <f t="shared" si="2"/>
        <v>2</v>
      </c>
      <c r="J17" s="12">
        <f t="shared" si="3"/>
        <v>10.000000000000002</v>
      </c>
      <c r="K17" s="3"/>
      <c r="L17" s="12" t="s">
        <v>16</v>
      </c>
      <c r="M17" s="12">
        <f t="shared" si="4"/>
        <v>8.5146931829632013</v>
      </c>
      <c r="N17" s="12">
        <f t="shared" si="5"/>
        <v>2.6034165586355518</v>
      </c>
      <c r="O17" s="12">
        <f t="shared" si="6"/>
        <v>2</v>
      </c>
      <c r="P17" s="3"/>
      <c r="Q17" s="3"/>
      <c r="R17" s="5"/>
    </row>
    <row r="18" spans="1:18" ht="16.5" x14ac:dyDescent="0.25">
      <c r="A18" s="9" t="s">
        <v>17</v>
      </c>
      <c r="B18" s="10">
        <v>5</v>
      </c>
      <c r="C18" s="10">
        <v>7</v>
      </c>
      <c r="D18" s="3"/>
      <c r="E18" s="3"/>
      <c r="F18" s="12" t="s">
        <v>17</v>
      </c>
      <c r="G18" s="12">
        <f>SQRT((B18-$B$23)^2 + (C18-$C$23)^2)</f>
        <v>5.8309518948453007</v>
      </c>
      <c r="H18" s="12">
        <f t="shared" si="1"/>
        <v>3.1622776601683795</v>
      </c>
      <c r="I18" s="12">
        <f t="shared" si="2"/>
        <v>2</v>
      </c>
      <c r="J18" s="12">
        <f t="shared" si="3"/>
        <v>10.000000000000002</v>
      </c>
      <c r="K18" s="3"/>
      <c r="L18" s="12" t="s">
        <v>17</v>
      </c>
      <c r="M18" s="12">
        <f t="shared" si="4"/>
        <v>2.9154759474226504</v>
      </c>
      <c r="N18" s="12">
        <f t="shared" si="5"/>
        <v>3.0731814857642954</v>
      </c>
      <c r="O18" s="12">
        <f t="shared" si="6"/>
        <v>1</v>
      </c>
      <c r="P18" s="3"/>
      <c r="Q18" s="3"/>
      <c r="R18" s="3"/>
    </row>
    <row r="19" spans="1:18" ht="16.5" x14ac:dyDescent="0.25">
      <c r="A19" s="5"/>
      <c r="B19" s="3"/>
      <c r="C19" s="3"/>
      <c r="D19" s="3"/>
      <c r="E19" s="3"/>
      <c r="F19" s="2" t="s">
        <v>32</v>
      </c>
      <c r="G19" s="2"/>
      <c r="H19" s="2"/>
      <c r="I19" s="2"/>
      <c r="J19" s="14">
        <f>SUM(J14:J18)</f>
        <v>50</v>
      </c>
      <c r="K19" s="3"/>
      <c r="L19" s="5"/>
      <c r="M19" s="5"/>
      <c r="N19" s="3"/>
      <c r="O19" s="3"/>
      <c r="P19" s="3"/>
      <c r="Q19" s="3"/>
      <c r="R19" s="3"/>
    </row>
    <row r="20" spans="1:18" x14ac:dyDescent="0.25">
      <c r="A20" s="5"/>
      <c r="B20" s="3"/>
      <c r="C20" s="3"/>
      <c r="D20" s="3"/>
      <c r="E20" s="3"/>
      <c r="F20" s="5"/>
      <c r="G20" s="5"/>
      <c r="H20" s="5"/>
      <c r="I20" s="5"/>
      <c r="J20" s="3"/>
      <c r="K20" s="3"/>
      <c r="L20" s="5"/>
      <c r="M20" s="5"/>
      <c r="N20" s="3"/>
      <c r="O20" s="3"/>
      <c r="P20" s="3"/>
      <c r="Q20" s="3"/>
      <c r="R20" s="3"/>
    </row>
    <row r="21" spans="1:18" ht="16.5" x14ac:dyDescent="0.25">
      <c r="A21" s="8" t="s">
        <v>19</v>
      </c>
      <c r="B21" s="8"/>
      <c r="C21" s="8"/>
      <c r="D21" s="3"/>
      <c r="E21" s="3"/>
      <c r="F21" s="8" t="s">
        <v>27</v>
      </c>
      <c r="G21" s="8"/>
      <c r="H21" s="8"/>
      <c r="I21" s="5"/>
      <c r="J21" s="3"/>
      <c r="K21" s="3"/>
      <c r="L21" s="3"/>
      <c r="M21" s="3"/>
      <c r="N21" s="3"/>
      <c r="O21" s="3"/>
      <c r="P21" s="3"/>
      <c r="Q21" s="3"/>
      <c r="R21" s="3"/>
    </row>
    <row r="22" spans="1:18" ht="16.5" x14ac:dyDescent="0.25">
      <c r="A22" s="9" t="s">
        <v>9</v>
      </c>
      <c r="B22" s="9" t="s">
        <v>11</v>
      </c>
      <c r="C22" s="9" t="s">
        <v>12</v>
      </c>
      <c r="D22" s="3"/>
      <c r="E22" s="3"/>
      <c r="F22" s="9" t="s">
        <v>9</v>
      </c>
      <c r="G22" s="9" t="s">
        <v>28</v>
      </c>
      <c r="H22" s="9" t="s">
        <v>29</v>
      </c>
      <c r="I22" s="5"/>
      <c r="J22" s="3"/>
      <c r="K22" s="3"/>
      <c r="L22" s="3"/>
      <c r="M22" s="3"/>
      <c r="N22" s="3"/>
      <c r="O22" s="3"/>
      <c r="P22" s="3"/>
      <c r="Q22" s="3"/>
      <c r="R22" s="3"/>
    </row>
    <row r="23" spans="1:18" ht="16.5" x14ac:dyDescent="0.25">
      <c r="A23" s="9" t="s">
        <v>20</v>
      </c>
      <c r="B23" s="9">
        <v>2</v>
      </c>
      <c r="C23" s="9">
        <v>2</v>
      </c>
      <c r="D23" s="3"/>
      <c r="E23" s="3"/>
      <c r="F23" s="9" t="s">
        <v>20</v>
      </c>
      <c r="G23" s="9">
        <f>AVERAGEIF($I$14:$I$18,1,$B$14:$B$18)</f>
        <v>2.5</v>
      </c>
      <c r="H23" s="9">
        <f>AVERAGEIF($I$14:$I$18,1,C14:C18)</f>
        <v>5.5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6.5" x14ac:dyDescent="0.25">
      <c r="A24" s="9" t="s">
        <v>21</v>
      </c>
      <c r="B24" s="9">
        <v>8</v>
      </c>
      <c r="C24" s="9">
        <v>8</v>
      </c>
      <c r="D24" s="3"/>
      <c r="E24" s="3"/>
      <c r="F24" s="9" t="s">
        <v>21</v>
      </c>
      <c r="G24" s="9">
        <f>AVERAGEIF($I$14:$I$18,2,$B$14:$B$18)</f>
        <v>7.333333333333333</v>
      </c>
      <c r="H24" s="9">
        <f>AVERAGEIF($I$14:$I$18,2,C15:C19)</f>
        <v>9</v>
      </c>
      <c r="I24" s="5"/>
      <c r="J24" s="5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"/>
      <c r="B25" s="3"/>
      <c r="C25" s="3"/>
      <c r="D25" s="3"/>
      <c r="E25" s="3"/>
      <c r="F25" s="3"/>
      <c r="G25" s="3"/>
      <c r="H25" s="5"/>
      <c r="I25" s="5"/>
      <c r="J25" s="5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/>
      <c r="B26" s="3"/>
      <c r="C26" s="3"/>
      <c r="D26" s="3"/>
      <c r="E26" s="3"/>
      <c r="F26" s="3"/>
      <c r="G26" s="3"/>
      <c r="H26" s="5"/>
      <c r="I26" s="5"/>
      <c r="J26" s="5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/>
      <c r="B27" s="3"/>
      <c r="C27" s="3"/>
      <c r="D27" s="3"/>
      <c r="E27" s="3"/>
      <c r="F27" s="3"/>
      <c r="G27" s="3"/>
      <c r="H27" s="5"/>
      <c r="I27" s="5"/>
      <c r="J27" s="5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/>
      <c r="B28" s="3"/>
      <c r="C28" s="3"/>
      <c r="D28" s="3"/>
      <c r="E28" s="3"/>
      <c r="F28" s="3"/>
      <c r="G28" s="3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/>
      <c r="B29" s="3"/>
      <c r="C29" s="3"/>
      <c r="D29" s="3"/>
      <c r="E29" s="3"/>
      <c r="F29" s="3"/>
      <c r="G29" s="3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/>
      <c r="B30" s="3"/>
      <c r="C30" s="3"/>
      <c r="D30" s="3"/>
      <c r="E30" s="3"/>
      <c r="F30" s="3"/>
      <c r="G30" s="3"/>
      <c r="H30" s="5"/>
      <c r="I30" s="5"/>
      <c r="J30" s="5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/>
      <c r="B31" s="3"/>
      <c r="C31" s="3"/>
      <c r="D31" s="3"/>
      <c r="E31" s="3"/>
      <c r="F31" s="3"/>
      <c r="G31" s="3"/>
      <c r="H31" s="5"/>
      <c r="I31" s="5"/>
      <c r="J31" s="5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/>
      <c r="B32" s="3"/>
      <c r="C32" s="3"/>
      <c r="D32" s="3"/>
      <c r="E32" s="3"/>
      <c r="F32" s="3"/>
      <c r="G32" s="3"/>
      <c r="H32" s="5"/>
      <c r="I32" s="5"/>
      <c r="J32" s="5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/>
      <c r="B33" s="3"/>
      <c r="C33" s="3"/>
      <c r="D33" s="3"/>
      <c r="E33" s="3"/>
      <c r="F33" s="3"/>
      <c r="G33" s="3"/>
      <c r="H33" s="5"/>
      <c r="I33" s="5"/>
      <c r="J33" s="5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/>
      <c r="B34" s="3"/>
      <c r="C34" s="3"/>
      <c r="D34" s="3"/>
      <c r="E34" s="3"/>
      <c r="F34" s="3"/>
      <c r="G34" s="3"/>
      <c r="H34" s="5"/>
      <c r="I34" s="5"/>
      <c r="J34" s="5"/>
      <c r="K34" s="3"/>
      <c r="L34" s="3"/>
      <c r="M34" s="3"/>
      <c r="N34" s="3"/>
      <c r="O34" s="3"/>
      <c r="P34" s="3"/>
      <c r="Q34" s="3"/>
      <c r="R34" s="3"/>
    </row>
  </sheetData>
  <mergeCells count="7">
    <mergeCell ref="A21:C21"/>
    <mergeCell ref="F21:H21"/>
    <mergeCell ref="L12:O12"/>
    <mergeCell ref="F12:J12"/>
    <mergeCell ref="F19:I19"/>
    <mergeCell ref="O11:R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Phần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2026-03-17T06:16:56Z</dcterms:created>
  <dcterms:modified xsi:type="dcterms:W3CDTF">2026-03-24T08:55:53Z</dcterms:modified>
</cp:coreProperties>
</file>