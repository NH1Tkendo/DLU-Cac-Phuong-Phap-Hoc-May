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1CF5A0-3042-476D-8130-2232747EB1AB}" xr6:coauthVersionLast="47" xr6:coauthVersionMax="47" xr10:uidLastSave="{00000000-0000-0000-0000-000000000000}"/>
  <bookViews>
    <workbookView xWindow="-120" yWindow="-120" windowWidth="20730" windowHeight="11040" xr2:uid="{A814C240-16AD-4237-993C-4837E78C9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C50" i="1"/>
  <c r="C25" i="1"/>
  <c r="C24" i="1"/>
  <c r="C26" i="1" s="1"/>
  <c r="C27" i="1" s="1"/>
  <c r="D41" i="1"/>
  <c r="B42" i="1"/>
  <c r="G42" i="1" s="1"/>
  <c r="B41" i="1"/>
  <c r="G41" i="1" s="1"/>
  <c r="E33" i="1"/>
  <c r="G33" i="1"/>
  <c r="C33" i="1"/>
  <c r="B34" i="1"/>
  <c r="G34" i="1" s="1"/>
  <c r="B33" i="1"/>
  <c r="E41" i="1"/>
  <c r="F41" i="1" s="1"/>
  <c r="B2" i="1"/>
  <c r="B3" i="1"/>
  <c r="B4" i="1"/>
  <c r="B5" i="1"/>
  <c r="B6" i="1"/>
  <c r="B7" i="1"/>
  <c r="B8" i="1"/>
  <c r="D1" i="1" s="1"/>
  <c r="H41" i="1" l="1"/>
  <c r="D33" i="1"/>
  <c r="F33" i="1"/>
  <c r="D2" i="1"/>
  <c r="E42" i="1"/>
  <c r="F42" i="1" s="1"/>
  <c r="H42" i="1" s="1"/>
  <c r="C43" i="1" s="1"/>
  <c r="E34" i="1"/>
  <c r="F34" i="1" s="1"/>
  <c r="H34" i="1" s="1"/>
  <c r="D42" i="1"/>
  <c r="D34" i="1"/>
  <c r="C28" i="1"/>
  <c r="C36" i="1" l="1"/>
  <c r="C44" i="1"/>
  <c r="H33" i="1"/>
  <c r="C35" i="1" s="1"/>
  <c r="D50" i="1" l="1"/>
  <c r="E50" i="1"/>
  <c r="D49" i="1"/>
  <c r="E49" i="1"/>
</calcChain>
</file>

<file path=xl/sharedStrings.xml><?xml version="1.0" encoding="utf-8"?>
<sst xmlns="http://schemas.openxmlformats.org/spreadsheetml/2006/main" count="68" uniqueCount="60">
  <si>
    <t>s</t>
  </si>
  <si>
    <t>g</t>
  </si>
  <si>
    <t>d1</t>
  </si>
  <si>
    <t>d2</t>
  </si>
  <si>
    <t>d3</t>
  </si>
  <si>
    <t>d4</t>
  </si>
  <si>
    <t>d5</t>
  </si>
  <si>
    <t>d6</t>
  </si>
  <si>
    <t>d7</t>
  </si>
  <si>
    <t>q</t>
  </si>
  <si>
    <t>Precision</t>
  </si>
  <si>
    <t>diamonds</t>
  </si>
  <si>
    <t>STT</t>
  </si>
  <si>
    <t>p1</t>
  </si>
  <si>
    <t>p0</t>
  </si>
  <si>
    <t>Information Gain</t>
  </si>
  <si>
    <t>Carat &gt; 1.0</t>
  </si>
  <si>
    <t>Màu D</t>
  </si>
  <si>
    <t>Nhãn mục tiêu (Premium = 1)</t>
  </si>
  <si>
    <t>Màu D (D = 1)</t>
  </si>
  <si>
    <t>H(S)</t>
  </si>
  <si>
    <t>Entropy tổng thể</t>
  </si>
  <si>
    <t>Xác suất lớp 0</t>
  </si>
  <si>
    <t>Xác suất lớp 1</t>
  </si>
  <si>
    <t>n0</t>
  </si>
  <si>
    <t>Số mẫu lớp 0</t>
  </si>
  <si>
    <t>n1</t>
  </si>
  <si>
    <t>Số mẫu lớp 1</t>
  </si>
  <si>
    <t>n</t>
  </si>
  <si>
    <t>Tổng số mẫu (n)</t>
  </si>
  <si>
    <t>Kết quả</t>
  </si>
  <si>
    <t>Ký hiệu</t>
  </si>
  <si>
    <t>Mô tả</t>
  </si>
  <si>
    <t>Information Gain B (IG)</t>
  </si>
  <si>
    <t>Tổng H sau chia B</t>
  </si>
  <si>
    <t>w*H</t>
  </si>
  <si>
    <t>Trọng số w = nA/n</t>
  </si>
  <si>
    <t>H(nhánh)</t>
  </si>
  <si>
    <t>p1A</t>
  </si>
  <si>
    <t>Lớp 0 (n0A)</t>
  </si>
  <si>
    <t>Lớp 1 (n1A)</t>
  </si>
  <si>
    <t>Số mẫu (nA)</t>
  </si>
  <si>
    <t>Nhánh</t>
  </si>
  <si>
    <t>Information Gain A (IG)</t>
  </si>
  <si>
    <t>Tổng H sau chia A</t>
  </si>
  <si>
    <t>Carat thấp (=0)</t>
  </si>
  <si>
    <t xml:space="preserve"> BẢNG 3B – PHÉP CHIA B: Theo màu D (Màu D = 1 / Khác=0)</t>
  </si>
  <si>
    <t>Màu D là màu phân loại kim cương (D ở đây có nghĩa là màu trong suốt và đắt giá nhất)</t>
  </si>
  <si>
    <t>Carat cao (&gt; 1.0 = 1)</t>
  </si>
  <si>
    <t>BẢNG 3A – PHÉP CHIA A: Theo Carat (&gt; 1.0 =1/ khác - 0)</t>
  </si>
  <si>
    <t>Màu D (=1)</t>
  </si>
  <si>
    <t>Màu Khác (=0)</t>
  </si>
  <si>
    <t>Phép chia B</t>
  </si>
  <si>
    <t>Carat (cao/thấp)</t>
  </si>
  <si>
    <t>Phép chia A</t>
  </si>
  <si>
    <t>Kết luận</t>
  </si>
  <si>
    <t>H sau chia</t>
  </si>
  <si>
    <t>Đặc trưng</t>
  </si>
  <si>
    <t>Phép chia</t>
  </si>
  <si>
    <t>BẢNG 4 – SO SÁNH HAI PHÉP 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</si>
</sst>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2CC"/>
      </patternFill>
    </fill>
    <fill>
      <patternFill patternType="solid">
        <fgColor rgb="FFFFFFE0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130-35A0-49DE-8D49-64FC959E15B9}">
  <dimension ref="A1:H50"/>
  <sheetViews>
    <sheetView tabSelected="1" topLeftCell="A13" zoomScaleNormal="100" workbookViewId="0">
      <selection activeCell="G15" sqref="G15"/>
    </sheetView>
  </sheetViews>
  <sheetFormatPr defaultRowHeight="15" x14ac:dyDescent="0.25"/>
  <cols>
    <col min="1" max="1" width="13.140625" customWidth="1"/>
    <col min="2" max="2" width="17.7109375" bestFit="1" customWidth="1"/>
    <col min="3" max="3" width="14" bestFit="1" customWidth="1"/>
    <col min="4" max="4" width="28.5703125" bestFit="1" customWidth="1"/>
    <col min="5" max="5" width="10" bestFit="1" customWidth="1"/>
  </cols>
  <sheetData>
    <row r="1" spans="1:5" x14ac:dyDescent="0.25">
      <c r="A1" s="1" t="s">
        <v>0</v>
      </c>
      <c r="B1" s="1">
        <v>2212453</v>
      </c>
      <c r="C1" s="1" t="s">
        <v>1</v>
      </c>
      <c r="D1" s="1">
        <f>MOD(B8, 5)</f>
        <v>3</v>
      </c>
      <c r="E1" s="1" t="s">
        <v>11</v>
      </c>
    </row>
    <row r="2" spans="1:5" x14ac:dyDescent="0.25">
      <c r="A2" s="1" t="s">
        <v>2</v>
      </c>
      <c r="B2" s="1">
        <f>VALUE(MID($B$1,1,1))</f>
        <v>2</v>
      </c>
      <c r="C2" s="1" t="s">
        <v>9</v>
      </c>
      <c r="D2" s="1">
        <f>MOD((B3 + B7),3)</f>
        <v>1</v>
      </c>
      <c r="E2" s="1" t="s">
        <v>10</v>
      </c>
    </row>
    <row r="3" spans="1:5" x14ac:dyDescent="0.25">
      <c r="A3" s="1" t="s">
        <v>3</v>
      </c>
      <c r="B3" s="3">
        <f>VALUE(MID($B$1,2,1))</f>
        <v>2</v>
      </c>
    </row>
    <row r="4" spans="1:5" x14ac:dyDescent="0.25">
      <c r="A4" s="2" t="s">
        <v>4</v>
      </c>
      <c r="B4" s="1">
        <f>VALUE(MID($B$1,3,1))</f>
        <v>1</v>
      </c>
    </row>
    <row r="5" spans="1:5" x14ac:dyDescent="0.25">
      <c r="A5" s="2" t="s">
        <v>5</v>
      </c>
      <c r="B5" s="1">
        <f>VALUE(MID($B$1,4,1))</f>
        <v>2</v>
      </c>
    </row>
    <row r="6" spans="1:5" x14ac:dyDescent="0.25">
      <c r="A6" s="2" t="s">
        <v>6</v>
      </c>
      <c r="B6" s="1">
        <f>VALUE(MID($B$1,5,1))</f>
        <v>4</v>
      </c>
    </row>
    <row r="7" spans="1:5" x14ac:dyDescent="0.25">
      <c r="A7" s="1" t="s">
        <v>7</v>
      </c>
      <c r="B7" s="4">
        <f>VALUE(MID($B$1,6,1))</f>
        <v>5</v>
      </c>
    </row>
    <row r="8" spans="1:5" x14ac:dyDescent="0.25">
      <c r="A8" s="1" t="s">
        <v>8</v>
      </c>
      <c r="B8" s="1">
        <f>VALUE(MID(B1,7,1))</f>
        <v>3</v>
      </c>
    </row>
    <row r="10" spans="1:5" x14ac:dyDescent="0.25">
      <c r="B10" t="s">
        <v>47</v>
      </c>
    </row>
    <row r="11" spans="1:5" x14ac:dyDescent="0.25">
      <c r="A11" s="5" t="s">
        <v>12</v>
      </c>
      <c r="B11" s="5" t="s">
        <v>16</v>
      </c>
      <c r="C11" s="5" t="s">
        <v>19</v>
      </c>
      <c r="D11" s="5" t="s">
        <v>18</v>
      </c>
    </row>
    <row r="12" spans="1:5" x14ac:dyDescent="0.25">
      <c r="A12" s="1">
        <v>1</v>
      </c>
      <c r="B12" s="1">
        <v>1</v>
      </c>
      <c r="C12" s="1">
        <v>1</v>
      </c>
      <c r="D12" s="1">
        <v>1</v>
      </c>
    </row>
    <row r="13" spans="1:5" x14ac:dyDescent="0.25">
      <c r="A13" s="1">
        <v>2</v>
      </c>
      <c r="B13" s="1">
        <v>1</v>
      </c>
      <c r="C13" s="1">
        <v>0</v>
      </c>
      <c r="D13" s="1">
        <v>1</v>
      </c>
    </row>
    <row r="14" spans="1:5" x14ac:dyDescent="0.25">
      <c r="A14" s="1">
        <v>3</v>
      </c>
      <c r="B14" s="1">
        <v>1</v>
      </c>
      <c r="C14" s="1">
        <v>1</v>
      </c>
      <c r="D14" s="1">
        <v>1</v>
      </c>
    </row>
    <row r="15" spans="1:5" x14ac:dyDescent="0.25">
      <c r="A15" s="1">
        <v>4</v>
      </c>
      <c r="B15" s="1">
        <v>0</v>
      </c>
      <c r="C15" s="1">
        <v>0</v>
      </c>
      <c r="D15" s="1">
        <v>1</v>
      </c>
    </row>
    <row r="16" spans="1:5" x14ac:dyDescent="0.25">
      <c r="A16" s="1">
        <v>5</v>
      </c>
      <c r="B16" s="1">
        <v>0</v>
      </c>
      <c r="C16" s="1">
        <v>1</v>
      </c>
      <c r="D16" s="1">
        <v>0</v>
      </c>
    </row>
    <row r="17" spans="1:8" x14ac:dyDescent="0.25">
      <c r="A17" s="1">
        <v>6</v>
      </c>
      <c r="B17" s="1">
        <v>0</v>
      </c>
      <c r="C17" s="1">
        <v>0</v>
      </c>
      <c r="D17" s="1">
        <v>0</v>
      </c>
    </row>
    <row r="18" spans="1:8" x14ac:dyDescent="0.25">
      <c r="A18" s="1">
        <v>7</v>
      </c>
      <c r="B18" s="1">
        <v>0</v>
      </c>
      <c r="C18" s="1">
        <v>1</v>
      </c>
      <c r="D18" s="1">
        <v>0</v>
      </c>
    </row>
    <row r="19" spans="1:8" x14ac:dyDescent="0.25">
      <c r="A19" s="1">
        <v>8</v>
      </c>
      <c r="B19" s="1">
        <v>0</v>
      </c>
      <c r="C19" s="1">
        <v>0</v>
      </c>
      <c r="D19" s="1">
        <v>0</v>
      </c>
    </row>
    <row r="22" spans="1:8" x14ac:dyDescent="0.25">
      <c r="A22" s="11" t="s">
        <v>32</v>
      </c>
      <c r="B22" s="11" t="s">
        <v>31</v>
      </c>
      <c r="C22" s="11" t="s">
        <v>30</v>
      </c>
    </row>
    <row r="23" spans="1:8" ht="30" x14ac:dyDescent="0.25">
      <c r="A23" s="8" t="s">
        <v>29</v>
      </c>
      <c r="B23" s="7" t="s">
        <v>28</v>
      </c>
      <c r="C23" s="10">
        <v>8</v>
      </c>
    </row>
    <row r="24" spans="1:8" x14ac:dyDescent="0.25">
      <c r="A24" s="8" t="s">
        <v>27</v>
      </c>
      <c r="B24" s="7" t="s">
        <v>26</v>
      </c>
      <c r="C24" s="9">
        <f>COUNTIF(D12:D19,1)</f>
        <v>4</v>
      </c>
    </row>
    <row r="25" spans="1:8" x14ac:dyDescent="0.25">
      <c r="A25" s="8" t="s">
        <v>25</v>
      </c>
      <c r="B25" s="7" t="s">
        <v>24</v>
      </c>
      <c r="C25" s="9">
        <f>COUNTIF($D$12:$D$19,0)</f>
        <v>4</v>
      </c>
    </row>
    <row r="26" spans="1:8" ht="30" x14ac:dyDescent="0.25">
      <c r="A26" s="8" t="s">
        <v>23</v>
      </c>
      <c r="B26" s="7" t="s">
        <v>13</v>
      </c>
      <c r="C26" s="9">
        <f>C24/C23</f>
        <v>0.5</v>
      </c>
    </row>
    <row r="27" spans="1:8" ht="30" x14ac:dyDescent="0.25">
      <c r="A27" s="8" t="s">
        <v>22</v>
      </c>
      <c r="B27" s="7" t="s">
        <v>14</v>
      </c>
      <c r="C27" s="9">
        <f>1-C26</f>
        <v>0.5</v>
      </c>
    </row>
    <row r="28" spans="1:8" ht="30" x14ac:dyDescent="0.25">
      <c r="A28" s="8" t="s">
        <v>21</v>
      </c>
      <c r="B28" s="7" t="s">
        <v>20</v>
      </c>
      <c r="C28" s="6">
        <f>-C26*LOG(C26,2)-C27*LOG(C27,2)</f>
        <v>1</v>
      </c>
    </row>
    <row r="31" spans="1:8" x14ac:dyDescent="0.25">
      <c r="A31" s="17" t="s">
        <v>49</v>
      </c>
      <c r="B31" s="13"/>
      <c r="C31" s="13"/>
      <c r="D31" s="13"/>
      <c r="E31" s="13"/>
      <c r="F31" s="13"/>
      <c r="G31" s="13"/>
      <c r="H31" s="13"/>
    </row>
    <row r="32" spans="1:8" ht="30" x14ac:dyDescent="0.25">
      <c r="A32" s="11" t="s">
        <v>42</v>
      </c>
      <c r="B32" s="11" t="s">
        <v>41</v>
      </c>
      <c r="C32" s="11" t="s">
        <v>40</v>
      </c>
      <c r="D32" s="11" t="s">
        <v>39</v>
      </c>
      <c r="E32" s="11" t="s">
        <v>38</v>
      </c>
      <c r="F32" s="11" t="s">
        <v>37</v>
      </c>
      <c r="G32" s="11" t="s">
        <v>36</v>
      </c>
      <c r="H32" s="11" t="s">
        <v>35</v>
      </c>
    </row>
    <row r="33" spans="1:8" ht="30" x14ac:dyDescent="0.25">
      <c r="A33" s="8" t="s">
        <v>48</v>
      </c>
      <c r="B33" s="9">
        <f>COUNTIF($B$12:$B$19, 1)</f>
        <v>3</v>
      </c>
      <c r="C33" s="9">
        <f>COUNTIF($B$12:$B$19, 1)</f>
        <v>3</v>
      </c>
      <c r="D33" s="9">
        <f>B33-C33</f>
        <v>0</v>
      </c>
      <c r="E33" s="9">
        <f>C33/B33</f>
        <v>1</v>
      </c>
      <c r="F33" s="10">
        <f>IF(OR(E33=0,E33=1),0,-E33*LOG(E33,2)-(1-E33)*LOG(1-E33,2))</f>
        <v>0</v>
      </c>
      <c r="G33" s="9">
        <f>B33/8</f>
        <v>0.375</v>
      </c>
      <c r="H33" s="10">
        <f>F33*G33</f>
        <v>0</v>
      </c>
    </row>
    <row r="34" spans="1:8" ht="30" x14ac:dyDescent="0.25">
      <c r="A34" s="8" t="s">
        <v>45</v>
      </c>
      <c r="B34" s="9">
        <f>COUNTIF($B$12:$B$19, 0)</f>
        <v>5</v>
      </c>
      <c r="C34" s="9">
        <v>1</v>
      </c>
      <c r="D34" s="9">
        <f>B34-C34</f>
        <v>4</v>
      </c>
      <c r="E34" s="9">
        <f>C34/B34</f>
        <v>0.2</v>
      </c>
      <c r="F34" s="10">
        <f>IF(OR(E34=0,E34=1),0,-E34*LOG(E34,2)-(1-E34)*LOG(1-E34,2))</f>
        <v>0.72192809488736231</v>
      </c>
      <c r="G34" s="9">
        <f>B34/8</f>
        <v>0.625</v>
      </c>
      <c r="H34" s="10">
        <f>F34*G34</f>
        <v>0.45120505930460142</v>
      </c>
    </row>
    <row r="35" spans="1:8" x14ac:dyDescent="0.25">
      <c r="A35" s="16" t="s">
        <v>44</v>
      </c>
      <c r="B35" s="13"/>
      <c r="C35" s="15">
        <f>SUM(H33:H34)</f>
        <v>0.45120505930460142</v>
      </c>
    </row>
    <row r="36" spans="1:8" x14ac:dyDescent="0.25">
      <c r="A36" s="19" t="s">
        <v>43</v>
      </c>
      <c r="B36" s="13"/>
      <c r="C36" s="18">
        <f>C28-C35</f>
        <v>0.54879494069539858</v>
      </c>
    </row>
    <row r="39" spans="1:8" x14ac:dyDescent="0.25">
      <c r="A39" s="17" t="s">
        <v>46</v>
      </c>
      <c r="B39" s="13"/>
      <c r="C39" s="13"/>
      <c r="D39" s="13"/>
      <c r="E39" s="13"/>
      <c r="F39" s="13"/>
      <c r="G39" s="13"/>
      <c r="H39" s="13"/>
    </row>
    <row r="40" spans="1:8" ht="30" x14ac:dyDescent="0.25">
      <c r="A40" s="11" t="s">
        <v>42</v>
      </c>
      <c r="B40" s="11" t="s">
        <v>41</v>
      </c>
      <c r="C40" s="11" t="s">
        <v>40</v>
      </c>
      <c r="D40" s="11" t="s">
        <v>39</v>
      </c>
      <c r="E40" s="11" t="s">
        <v>38</v>
      </c>
      <c r="F40" s="11" t="s">
        <v>37</v>
      </c>
      <c r="G40" s="11" t="s">
        <v>36</v>
      </c>
      <c r="H40" s="11" t="s">
        <v>35</v>
      </c>
    </row>
    <row r="41" spans="1:8" x14ac:dyDescent="0.25">
      <c r="A41" s="8" t="s">
        <v>50</v>
      </c>
      <c r="B41" s="9">
        <f>COUNTIF(C12:C19,1)</f>
        <v>4</v>
      </c>
      <c r="C41" s="9">
        <v>2</v>
      </c>
      <c r="D41" s="9">
        <f>B41-C41</f>
        <v>2</v>
      </c>
      <c r="E41" s="9">
        <f>IF(B41=0,0,C41/B41)</f>
        <v>0.5</v>
      </c>
      <c r="F41" s="10">
        <f>IF(OR(E41=0,E41=1),0,-E41*LOG(E41,2)-(1-E41)*LOG(1-E41,2))</f>
        <v>1</v>
      </c>
      <c r="G41" s="9">
        <f>IF(B41=0,0,B41/8)</f>
        <v>0.5</v>
      </c>
      <c r="H41" s="10">
        <f>F41*G41</f>
        <v>0.5</v>
      </c>
    </row>
    <row r="42" spans="1:8" ht="30" x14ac:dyDescent="0.25">
      <c r="A42" s="8" t="s">
        <v>51</v>
      </c>
      <c r="B42" s="9">
        <f>COUNTIF(C12:C19,0)</f>
        <v>4</v>
      </c>
      <c r="C42" s="9">
        <v>2</v>
      </c>
      <c r="D42" s="9">
        <f>B42-C42</f>
        <v>2</v>
      </c>
      <c r="E42" s="9">
        <f>IF(B42=0,0,C42/B42)</f>
        <v>0.5</v>
      </c>
      <c r="F42" s="10">
        <f>IF(OR(E42=0,E42=1),0,-E42*LOG(E42,2)-(1-E42)*LOG(1-E42,2))</f>
        <v>1</v>
      </c>
      <c r="G42" s="9">
        <f>IF(B42=0,0,B42/8)</f>
        <v>0.5</v>
      </c>
      <c r="H42" s="10">
        <f>F42*G42</f>
        <v>0.5</v>
      </c>
    </row>
    <row r="43" spans="1:8" x14ac:dyDescent="0.25">
      <c r="A43" s="16" t="s">
        <v>34</v>
      </c>
      <c r="B43" s="13"/>
      <c r="C43" s="15">
        <f>SUM(H41:H42)</f>
        <v>1</v>
      </c>
    </row>
    <row r="44" spans="1:8" x14ac:dyDescent="0.25">
      <c r="A44" s="14" t="s">
        <v>33</v>
      </c>
      <c r="B44" s="13"/>
      <c r="C44" s="12">
        <f>C28-C43</f>
        <v>0</v>
      </c>
    </row>
    <row r="47" spans="1:8" x14ac:dyDescent="0.25">
      <c r="A47" s="22" t="s">
        <v>59</v>
      </c>
      <c r="B47" s="13"/>
      <c r="C47" s="13"/>
      <c r="D47" s="13"/>
      <c r="E47" s="13"/>
      <c r="F47" s="13"/>
      <c r="G47" s="13"/>
      <c r="H47" s="13"/>
    </row>
    <row r="48" spans="1:8" x14ac:dyDescent="0.25">
      <c r="A48" s="11" t="s">
        <v>58</v>
      </c>
      <c r="B48" s="11" t="s">
        <v>57</v>
      </c>
      <c r="C48" s="11" t="s">
        <v>56</v>
      </c>
      <c r="D48" s="11" t="s">
        <v>15</v>
      </c>
      <c r="E48" s="11" t="s">
        <v>55</v>
      </c>
    </row>
    <row r="49" spans="1:5" x14ac:dyDescent="0.25">
      <c r="A49" s="8" t="s">
        <v>54</v>
      </c>
      <c r="B49" s="8" t="s">
        <v>53</v>
      </c>
      <c r="C49" s="10">
        <f>Sheet1!C35</f>
        <v>0.45120505930460142</v>
      </c>
      <c r="D49" s="18">
        <f>Sheet1!C36</f>
        <v>0.54879494069539858</v>
      </c>
      <c r="E49" s="21" t="str">
        <f>IF(Sheet1!C36&lt;Sheet1!C44,"Kém hơn","Tốt hơn")</f>
        <v>Tốt hơn</v>
      </c>
    </row>
    <row r="50" spans="1:5" x14ac:dyDescent="0.25">
      <c r="A50" s="8" t="s">
        <v>52</v>
      </c>
      <c r="B50" s="8" t="s">
        <v>17</v>
      </c>
      <c r="C50" s="10">
        <f>Sheet1!C43</f>
        <v>1</v>
      </c>
      <c r="D50" s="12">
        <f>Sheet1!C44</f>
        <v>0</v>
      </c>
      <c r="E50" s="20" t="str">
        <f>IF(Sheet1!C44&gt;=Sheet1!C36,"TỐT NHẤT ✓","Kém hơn")</f>
        <v>Kém hơn</v>
      </c>
    </row>
  </sheetData>
  <mergeCells count="7">
    <mergeCell ref="A47:H47"/>
    <mergeCell ref="A36:B36"/>
    <mergeCell ref="A44:B44"/>
    <mergeCell ref="A35:B35"/>
    <mergeCell ref="A31:H31"/>
    <mergeCell ref="A43:B43"/>
    <mergeCell ref="A39:H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2026-03-18T09:36:40Z</dcterms:created>
  <dcterms:modified xsi:type="dcterms:W3CDTF">2026-03-18T16:39:28Z</dcterms:modified>
</cp:coreProperties>
</file>